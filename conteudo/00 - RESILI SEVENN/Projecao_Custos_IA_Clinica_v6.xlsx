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 de Tokens" sheetId="1" state="visible" r:id="rId1"/>
    <sheet xmlns:r="http://schemas.openxmlformats.org/officeDocument/2006/relationships" name="Projeção de Cu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3" customWidth="1" min="4" max="4"/>
    <col width="25" customWidth="1" min="5" max="5"/>
    <col width="21" customWidth="1" min="6" max="6"/>
  </cols>
  <sheetData>
    <row r="1">
      <c r="A1" s="1" t="inlineStr">
        <is>
          <t>Etapa da Conversa</t>
        </is>
      </c>
      <c r="B1" s="1" t="inlineStr">
        <is>
          <t>Tipo (Texto/Voz)</t>
        </is>
      </c>
      <c r="C1" s="1" t="inlineStr">
        <is>
          <t>Duração média (segundos)</t>
        </is>
      </c>
      <c r="D1" s="1" t="inlineStr">
        <is>
          <t>Palavras (estimativa)</t>
        </is>
      </c>
      <c r="E1" s="1" t="inlineStr">
        <is>
          <t>Caracteres (estimativa)</t>
        </is>
      </c>
      <c r="F1" s="1" t="inlineStr">
        <is>
          <t>Tokens (estimativa)</t>
        </is>
      </c>
    </row>
    <row r="2">
      <c r="A2" t="inlineStr">
        <is>
          <t>Boas-vindas</t>
        </is>
      </c>
      <c r="B2" t="inlineStr">
        <is>
          <t>Texto</t>
        </is>
      </c>
      <c r="C2" t="n">
        <v>10</v>
      </c>
      <c r="D2">
        <f>C2*2</f>
        <v/>
      </c>
      <c r="E2">
        <f>D2*10</f>
        <v/>
      </c>
      <c r="F2">
        <f>E2/1.4</f>
        <v/>
      </c>
    </row>
    <row r="3">
      <c r="A3" t="inlineStr">
        <is>
          <t>Triagem</t>
        </is>
      </c>
      <c r="B3" t="inlineStr">
        <is>
          <t>Texto</t>
        </is>
      </c>
      <c r="C3" t="n">
        <v>45</v>
      </c>
      <c r="D3">
        <f>C3*2</f>
        <v/>
      </c>
      <c r="E3">
        <f>D3*10</f>
        <v/>
      </c>
      <c r="F3">
        <f>E3/1.4</f>
        <v/>
      </c>
    </row>
    <row r="4">
      <c r="A4" t="inlineStr">
        <is>
          <t>Encantamento</t>
        </is>
      </c>
      <c r="B4" t="inlineStr">
        <is>
          <t>Texto</t>
        </is>
      </c>
      <c r="C4" t="n">
        <v>25</v>
      </c>
      <c r="D4">
        <f>C4*2</f>
        <v/>
      </c>
      <c r="E4">
        <f>D4*10</f>
        <v/>
      </c>
      <c r="F4">
        <f>E4/1.4</f>
        <v/>
      </c>
    </row>
    <row r="5">
      <c r="A5" t="inlineStr">
        <is>
          <t>Apresentação Orçamento</t>
        </is>
      </c>
      <c r="B5" t="inlineStr">
        <is>
          <t>Texto</t>
        </is>
      </c>
      <c r="C5" t="n">
        <v>30</v>
      </c>
      <c r="D5">
        <f>C5*2</f>
        <v/>
      </c>
      <c r="E5">
        <f>D5*10</f>
        <v/>
      </c>
      <c r="F5">
        <f>E5/1.4</f>
        <v/>
      </c>
    </row>
    <row r="6">
      <c r="A6" t="inlineStr">
        <is>
          <t>Quebra de Objeções</t>
        </is>
      </c>
      <c r="B6" t="inlineStr">
        <is>
          <t>Voz</t>
        </is>
      </c>
      <c r="C6" t="n">
        <v>60</v>
      </c>
      <c r="D6">
        <f>C6*2</f>
        <v/>
      </c>
      <c r="E6">
        <f>D6*10</f>
        <v/>
      </c>
      <c r="F6">
        <f>E6/1.4</f>
        <v/>
      </c>
    </row>
    <row r="7">
      <c r="A7" t="inlineStr">
        <is>
          <t>Follow-up</t>
        </is>
      </c>
      <c r="B7" t="inlineStr">
        <is>
          <t>Voz</t>
        </is>
      </c>
      <c r="C7" t="n">
        <v>20</v>
      </c>
      <c r="D7">
        <f>C7*2</f>
        <v/>
      </c>
      <c r="E7">
        <f>D7*10</f>
        <v/>
      </c>
      <c r="F7">
        <f>E7/1.4</f>
        <v/>
      </c>
    </row>
    <row r="8">
      <c r="A8" s="1" t="inlineStr">
        <is>
          <t>TOTAL</t>
        </is>
      </c>
      <c r="D8" s="1">
        <f>SUM(D2:D7)</f>
        <v/>
      </c>
      <c r="E8" s="1">
        <f>SUM(E2:E7)</f>
        <v/>
      </c>
      <c r="F8" s="1">
        <f>SUM(F2:F7)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45" customWidth="1" min="4" max="4"/>
    <col width="45" customWidth="1" min="5" max="5"/>
    <col width="21" customWidth="1" min="6" max="6"/>
    <col width="24" customWidth="1" min="7" max="7"/>
    <col width="19" customWidth="1" min="8" max="8"/>
    <col width="28" customWidth="1" min="9" max="9"/>
    <col width="17" customWidth="1" min="10" max="10"/>
    <col width="13" customWidth="1" min="11" max="11"/>
    <col width="25" customWidth="1" min="12" max="12"/>
  </cols>
  <sheetData>
    <row r="1">
      <c r="A1" s="2" t="inlineStr">
        <is>
          <t>Volume de Leads/Mês</t>
        </is>
      </c>
      <c r="B1" s="2" t="inlineStr">
        <is>
          <t>Proporção Texto (%)</t>
        </is>
      </c>
      <c r="C1" s="2" t="inlineStr">
        <is>
          <t>Proporção Voz (%)</t>
        </is>
      </c>
      <c r="D1" s="2" t="inlineStr">
        <is>
          <t>Tokens Totais (GPT)</t>
        </is>
      </c>
      <c r="E1" s="2" t="inlineStr">
        <is>
          <t>Caracteres Totais (Voz)</t>
        </is>
      </c>
      <c r="F1" s="2" t="inlineStr">
        <is>
          <t>Custo ChatGPT (USD)</t>
        </is>
      </c>
      <c r="G1" s="2" t="inlineStr">
        <is>
          <t>Custo ElevenLabs (USD)</t>
        </is>
      </c>
      <c r="H1" s="2" t="inlineStr">
        <is>
          <t>Custo Kommo (USD)</t>
        </is>
      </c>
      <c r="I1" s="2" t="inlineStr">
        <is>
          <t>Custo Chatwoot + VPS (USD)</t>
        </is>
      </c>
      <c r="J1" s="2" t="inlineStr">
        <is>
          <t>Custo n8n (USD)</t>
        </is>
      </c>
      <c r="K1" s="2" t="inlineStr">
        <is>
          <t>Total USD</t>
        </is>
      </c>
      <c r="L1" s="2" t="inlineStr">
        <is>
          <t>Total BRL (5,6 BRL/USD)</t>
        </is>
      </c>
    </row>
    <row r="2">
      <c r="A2" t="n">
        <v>200</v>
      </c>
      <c r="B2" t="n">
        <v>70</v>
      </c>
      <c r="C2" t="n">
        <v>30</v>
      </c>
      <c r="D2">
        <f>('Cálculo de Tokens'!F8*(A2/200)*(B2/100))</f>
        <v/>
      </c>
      <c r="E2">
        <f>('Cálculo de Tokens'!E8*(A2/200)*(C2/100))</f>
        <v/>
      </c>
      <c r="F2">
        <f>D2/33500*1.0</f>
        <v/>
      </c>
      <c r="G2">
        <f>E2/500000*22</f>
        <v/>
      </c>
      <c r="H2" t="n">
        <v>17</v>
      </c>
      <c r="I2" t="n">
        <v>10</v>
      </c>
      <c r="J2" t="n">
        <v>5</v>
      </c>
      <c r="K2">
        <f>SUM(F2:J2)</f>
        <v/>
      </c>
      <c r="L2">
        <f>K2*5.6</f>
        <v/>
      </c>
    </row>
    <row r="3">
      <c r="A3" t="inlineStr">
        <is>
          <t>Informações de Preços e Planos</t>
        </is>
      </c>
      <c r="B3" t="inlineStr"/>
      <c r="C3" t="inlineStr"/>
      <c r="D3" t="inlineStr"/>
    </row>
    <row r="4">
      <c r="A4" t="inlineStr">
        <is>
          <t>ChatGPT 4.5 Turbo (OpenAI API)</t>
        </is>
      </c>
      <c r="B4" t="inlineStr">
        <is>
          <t>Entrada $0.01 / 1K tokens</t>
        </is>
      </c>
      <c r="C4" t="inlineStr">
        <is>
          <t>Saída $0.03 / 1K tokens</t>
        </is>
      </c>
      <c r="D4" t="inlineStr">
        <is>
          <t>≈ 33.3K tokens ≈ $1</t>
        </is>
      </c>
    </row>
    <row r="5">
      <c r="A5" t="inlineStr">
        <is>
          <t>ElevenLabs</t>
        </is>
      </c>
      <c r="B5" t="inlineStr">
        <is>
          <t>Starter: $5 (30K caract.)</t>
        </is>
      </c>
      <c r="C5" t="inlineStr">
        <is>
          <t>Creator: $11 (100K caract.)</t>
        </is>
      </c>
      <c r="D5" t="inlineStr">
        <is>
          <t>Pro: $22 (500K caract.)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s="2" t="n"/>
      <c r="B20" s="2" t="n"/>
      <c r="C20" s="2" t="n"/>
      <c r="D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2025-10-27T12:41:52Z</dcterms:created>
  <dcterms:modified xmlns:dcterms="http://purl.org/dc/terms/" xmlns:xsi="http://www.w3.org/2001/XMLSchema-instance" xsi:type="dcterms:W3CDTF">2025-10-27T12:41:52Z</dcterms:modified>
</cp:coreProperties>
</file>