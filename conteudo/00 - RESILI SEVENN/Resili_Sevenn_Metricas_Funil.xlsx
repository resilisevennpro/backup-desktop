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enário 1 (3 clientes)" sheetId="1" r:id="rId1"/>
    <sheet name="Cenário 2 (2 clientes)" sheetId="2" r:id="rId2"/>
  </sheets>
  <calcPr calcId="124519" fullCalcOnLoad="1"/>
</workbook>
</file>

<file path=xl/sharedStrings.xml><?xml version="1.0" encoding="utf-8"?>
<sst xmlns="http://schemas.openxmlformats.org/spreadsheetml/2006/main" count="48" uniqueCount="24">
  <si>
    <t>Mês</t>
  </si>
  <si>
    <t>Investimento (R$)</t>
  </si>
  <si>
    <t>CPL alvo (R$)</t>
  </si>
  <si>
    <t>Leads Gerados</t>
  </si>
  <si>
    <t>% Agendamento</t>
  </si>
  <si>
    <t>Calls Agendadas</t>
  </si>
  <si>
    <t>% Comparecimento</t>
  </si>
  <si>
    <t>Calls Realizadas</t>
  </si>
  <si>
    <t>% Fechamento</t>
  </si>
  <si>
    <t>Clientes Fechados</t>
  </si>
  <si>
    <t>Ticket Médio (R$)</t>
  </si>
  <si>
    <t>Faturamento (R$)</t>
  </si>
  <si>
    <t>CAC (R$)</t>
  </si>
  <si>
    <t>ROI (x)</t>
  </si>
  <si>
    <t>Observações</t>
  </si>
  <si>
    <t>Mês 1</t>
  </si>
  <si>
    <t>Mês 2</t>
  </si>
  <si>
    <t>Mês 3</t>
  </si>
  <si>
    <t>Mês 4</t>
  </si>
  <si>
    <t>Mês 5</t>
  </si>
  <si>
    <t>Notas:</t>
  </si>
  <si>
    <t>- Preencha as colunas em branco de % e valores conforme sua realidade; as demais colunas calculam automaticamente.</t>
  </si>
  <si>
    <t>- Ajuste o Ticket Médio (K) se vender planos maiores (CRM, IA, etc.).</t>
  </si>
  <si>
    <t>- Meta do cenário está embutida nos valores padrão desta aba; altere para simular.</t>
  </si>
</sst>
</file>

<file path=xl/styles.xml><?xml version="1.0" encoding="utf-8"?>
<styleSheet xmlns="http://schemas.openxmlformats.org/spreadsheetml/2006/main">
  <numFmts count="3">
    <numFmt numFmtId="164" formatCode="R$ #,##0"/>
    <numFmt numFmtId="165" formatCode="0%"/>
    <numFmt numFmtId="166" formatCode="R$ 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0" fillId="0" borderId="0" xfId="0"/>
    <xf numFmtId="164" fontId="0" fillId="0" borderId="0" xfId="0" applyNumberFormat="1"/>
    <xf numFmtId="1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"/>
  <sheetViews>
    <sheetView tabSelected="1" workbookViewId="0"/>
  </sheetViews>
  <sheetFormatPr defaultRowHeight="15"/>
  <cols>
    <col min="1" max="1" width="10.7109375" customWidth="1"/>
    <col min="2" max="2" width="16.7109375" customWidth="1"/>
    <col min="3" max="5" width="14.7109375" customWidth="1"/>
    <col min="6" max="8" width="16.7109375" customWidth="1"/>
    <col min="9" max="9" width="14.7109375" customWidth="1"/>
    <col min="10" max="10" width="18.7109375" customWidth="1"/>
    <col min="11" max="12" width="16.7109375" customWidth="1"/>
    <col min="13" max="13" width="12.7109375" customWidth="1"/>
    <col min="14" max="14" width="10.7109375" customWidth="1"/>
    <col min="15" max="15" width="2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2" t="s">
        <v>15</v>
      </c>
      <c r="B2" s="3">
        <v>1000</v>
      </c>
      <c r="C2" s="3">
        <v>20</v>
      </c>
      <c r="D2" s="4">
        <f>ROUND(B2/C2,0)</f>
        <v>0</v>
      </c>
      <c r="E2" s="5">
        <v>0.3</v>
      </c>
      <c r="F2" s="4">
        <f>ROUND(D2*E2,0)</f>
        <v>0</v>
      </c>
      <c r="G2" s="5">
        <v>0.7</v>
      </c>
      <c r="H2" s="4">
        <f>ROUND(F2*G2,0)</f>
        <v>0</v>
      </c>
      <c r="I2" s="5">
        <v>0.25</v>
      </c>
      <c r="J2" s="4">
        <f>ROUND(H2*I2,0)</f>
        <v>0</v>
      </c>
      <c r="K2" s="3">
        <v>1000</v>
      </c>
      <c r="L2" s="6">
        <f>J2*K2</f>
        <v>0</v>
      </c>
      <c r="M2" s="6">
        <f>IFERROR(B2/J2,0)</f>
        <v>0</v>
      </c>
      <c r="N2" s="2">
        <f>IFERROR(L2/B2,0)</f>
        <v>0</v>
      </c>
    </row>
    <row r="3" spans="1:15">
      <c r="A3" s="2" t="s">
        <v>16</v>
      </c>
      <c r="B3" s="3">
        <v>1000</v>
      </c>
      <c r="C3" s="3">
        <v>20</v>
      </c>
      <c r="D3" s="4">
        <f>ROUND(B3/C3,0)</f>
        <v>0</v>
      </c>
      <c r="E3" s="5">
        <v>0.3</v>
      </c>
      <c r="F3" s="4">
        <f>ROUND(D3*E3,0)</f>
        <v>0</v>
      </c>
      <c r="G3" s="5">
        <v>0.7</v>
      </c>
      <c r="H3" s="4">
        <f>ROUND(F3*G3,0)</f>
        <v>0</v>
      </c>
      <c r="I3" s="5">
        <v>0.25</v>
      </c>
      <c r="J3" s="4">
        <f>ROUND(H3*I3,0)</f>
        <v>0</v>
      </c>
      <c r="K3" s="3">
        <v>1000</v>
      </c>
      <c r="L3" s="6">
        <f>J3*K3</f>
        <v>0</v>
      </c>
      <c r="M3" s="6">
        <f>IFERROR(B3/J3,0)</f>
        <v>0</v>
      </c>
      <c r="N3" s="2">
        <f>IFERROR(L3/B3,0)</f>
        <v>0</v>
      </c>
    </row>
    <row r="4" spans="1:15">
      <c r="A4" s="2" t="s">
        <v>17</v>
      </c>
      <c r="B4" s="3">
        <v>1000</v>
      </c>
      <c r="C4" s="3">
        <v>20</v>
      </c>
      <c r="D4" s="4">
        <f>ROUND(B4/C4,0)</f>
        <v>0</v>
      </c>
      <c r="E4" s="5">
        <v>0.3</v>
      </c>
      <c r="F4" s="4">
        <f>ROUND(D4*E4,0)</f>
        <v>0</v>
      </c>
      <c r="G4" s="5">
        <v>0.7</v>
      </c>
      <c r="H4" s="4">
        <f>ROUND(F4*G4,0)</f>
        <v>0</v>
      </c>
      <c r="I4" s="5">
        <v>0.25</v>
      </c>
      <c r="J4" s="4">
        <f>ROUND(H4*I4,0)</f>
        <v>0</v>
      </c>
      <c r="K4" s="3">
        <v>1000</v>
      </c>
      <c r="L4" s="6">
        <f>J4*K4</f>
        <v>0</v>
      </c>
      <c r="M4" s="6">
        <f>IFERROR(B4/J4,0)</f>
        <v>0</v>
      </c>
      <c r="N4" s="2">
        <f>IFERROR(L4/B4,0)</f>
        <v>0</v>
      </c>
    </row>
    <row r="5" spans="1:15">
      <c r="A5" s="2" t="s">
        <v>18</v>
      </c>
      <c r="B5" s="3">
        <v>1000</v>
      </c>
      <c r="C5" s="3">
        <v>20</v>
      </c>
      <c r="D5" s="4">
        <f>ROUND(B5/C5,0)</f>
        <v>0</v>
      </c>
      <c r="E5" s="5">
        <v>0.3</v>
      </c>
      <c r="F5" s="4">
        <f>ROUND(D5*E5,0)</f>
        <v>0</v>
      </c>
      <c r="G5" s="5">
        <v>0.7</v>
      </c>
      <c r="H5" s="4">
        <f>ROUND(F5*G5,0)</f>
        <v>0</v>
      </c>
      <c r="I5" s="5">
        <v>0.25</v>
      </c>
      <c r="J5" s="4">
        <f>ROUND(H5*I5,0)</f>
        <v>0</v>
      </c>
      <c r="K5" s="3">
        <v>1000</v>
      </c>
      <c r="L5" s="6">
        <f>J5*K5</f>
        <v>0</v>
      </c>
      <c r="M5" s="6">
        <f>IFERROR(B5/J5,0)</f>
        <v>0</v>
      </c>
      <c r="N5" s="2">
        <f>IFERROR(L5/B5,0)</f>
        <v>0</v>
      </c>
    </row>
    <row r="6" spans="1:15">
      <c r="A6" s="2" t="s">
        <v>19</v>
      </c>
      <c r="B6" s="3">
        <v>1000</v>
      </c>
      <c r="C6" s="3">
        <v>20</v>
      </c>
      <c r="D6" s="4">
        <f>ROUND(B6/C6,0)</f>
        <v>0</v>
      </c>
      <c r="E6" s="5">
        <v>0.3</v>
      </c>
      <c r="F6" s="4">
        <f>ROUND(D6*E6,0)</f>
        <v>0</v>
      </c>
      <c r="G6" s="5">
        <v>0.7</v>
      </c>
      <c r="H6" s="4">
        <f>ROUND(F6*G6,0)</f>
        <v>0</v>
      </c>
      <c r="I6" s="5">
        <v>0.25</v>
      </c>
      <c r="J6" s="4">
        <f>ROUND(H6*I6,0)</f>
        <v>0</v>
      </c>
      <c r="K6" s="3">
        <v>1000</v>
      </c>
      <c r="L6" s="6">
        <f>J6*K6</f>
        <v>0</v>
      </c>
      <c r="M6" s="6">
        <f>IFERROR(B6/J6,0)</f>
        <v>0</v>
      </c>
      <c r="N6" s="2">
        <f>IFERROR(L6/B6,0)</f>
        <v>0</v>
      </c>
    </row>
    <row r="8" spans="1:15">
      <c r="A8" s="1" t="s">
        <v>20</v>
      </c>
    </row>
    <row r="9" spans="1:15">
      <c r="A9" s="2" t="s">
        <v>21</v>
      </c>
    </row>
    <row r="10" spans="1:15">
      <c r="A10" s="2" t="s">
        <v>22</v>
      </c>
    </row>
    <row r="11" spans="1:15">
      <c r="A11" s="2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1"/>
  <sheetViews>
    <sheetView workbookViewId="0"/>
  </sheetViews>
  <sheetFormatPr defaultRowHeight="15"/>
  <cols>
    <col min="1" max="1" width="10.7109375" customWidth="1"/>
    <col min="2" max="2" width="16.7109375" customWidth="1"/>
    <col min="3" max="5" width="14.7109375" customWidth="1"/>
    <col min="6" max="8" width="16.7109375" customWidth="1"/>
    <col min="9" max="9" width="14.7109375" customWidth="1"/>
    <col min="10" max="10" width="18.7109375" customWidth="1"/>
    <col min="11" max="12" width="16.7109375" customWidth="1"/>
    <col min="13" max="13" width="12.7109375" customWidth="1"/>
    <col min="14" max="14" width="10.7109375" customWidth="1"/>
    <col min="15" max="15" width="2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2" t="s">
        <v>15</v>
      </c>
      <c r="B2" s="3">
        <v>1000</v>
      </c>
      <c r="C2" s="3">
        <v>25</v>
      </c>
      <c r="D2" s="4">
        <f>ROUND(B2/C2,0)</f>
        <v>0</v>
      </c>
      <c r="E2" s="5">
        <v>0.25</v>
      </c>
      <c r="F2" s="4">
        <f>ROUND(D2*E2,0)</f>
        <v>0</v>
      </c>
      <c r="G2" s="5">
        <v>0.6</v>
      </c>
      <c r="H2" s="4">
        <f>ROUND(F2*G2,0)</f>
        <v>0</v>
      </c>
      <c r="I2" s="5">
        <v>0.3</v>
      </c>
      <c r="J2" s="4">
        <f>ROUND(H2*I2,0)</f>
        <v>0</v>
      </c>
      <c r="K2" s="3">
        <v>1000</v>
      </c>
      <c r="L2" s="6">
        <f>J2*K2</f>
        <v>0</v>
      </c>
      <c r="M2" s="6">
        <f>IFERROR(B2/J2,0)</f>
        <v>0</v>
      </c>
      <c r="N2" s="2">
        <f>IFERROR(L2/B2,0)</f>
        <v>0</v>
      </c>
    </row>
    <row r="3" spans="1:15">
      <c r="A3" s="2" t="s">
        <v>16</v>
      </c>
      <c r="B3" s="3">
        <v>1000</v>
      </c>
      <c r="C3" s="3">
        <v>25</v>
      </c>
      <c r="D3" s="4">
        <f>ROUND(B3/C3,0)</f>
        <v>0</v>
      </c>
      <c r="E3" s="5">
        <v>0.25</v>
      </c>
      <c r="F3" s="4">
        <f>ROUND(D3*E3,0)</f>
        <v>0</v>
      </c>
      <c r="G3" s="5">
        <v>0.6</v>
      </c>
      <c r="H3" s="4">
        <f>ROUND(F3*G3,0)</f>
        <v>0</v>
      </c>
      <c r="I3" s="5">
        <v>0.3</v>
      </c>
      <c r="J3" s="4">
        <f>ROUND(H3*I3,0)</f>
        <v>0</v>
      </c>
      <c r="K3" s="3">
        <v>1000</v>
      </c>
      <c r="L3" s="6">
        <f>J3*K3</f>
        <v>0</v>
      </c>
      <c r="M3" s="6">
        <f>IFERROR(B3/J3,0)</f>
        <v>0</v>
      </c>
      <c r="N3" s="2">
        <f>IFERROR(L3/B3,0)</f>
        <v>0</v>
      </c>
    </row>
    <row r="4" spans="1:15">
      <c r="A4" s="2" t="s">
        <v>17</v>
      </c>
      <c r="B4" s="3">
        <v>1000</v>
      </c>
      <c r="C4" s="3">
        <v>25</v>
      </c>
      <c r="D4" s="4">
        <f>ROUND(B4/C4,0)</f>
        <v>0</v>
      </c>
      <c r="E4" s="5">
        <v>0.25</v>
      </c>
      <c r="F4" s="4">
        <f>ROUND(D4*E4,0)</f>
        <v>0</v>
      </c>
      <c r="G4" s="5">
        <v>0.6</v>
      </c>
      <c r="H4" s="4">
        <f>ROUND(F4*G4,0)</f>
        <v>0</v>
      </c>
      <c r="I4" s="5">
        <v>0.3</v>
      </c>
      <c r="J4" s="4">
        <f>ROUND(H4*I4,0)</f>
        <v>0</v>
      </c>
      <c r="K4" s="3">
        <v>1000</v>
      </c>
      <c r="L4" s="6">
        <f>J4*K4</f>
        <v>0</v>
      </c>
      <c r="M4" s="6">
        <f>IFERROR(B4/J4,0)</f>
        <v>0</v>
      </c>
      <c r="N4" s="2">
        <f>IFERROR(L4/B4,0)</f>
        <v>0</v>
      </c>
    </row>
    <row r="5" spans="1:15">
      <c r="A5" s="2" t="s">
        <v>18</v>
      </c>
      <c r="B5" s="3">
        <v>1000</v>
      </c>
      <c r="C5" s="3">
        <v>25</v>
      </c>
      <c r="D5" s="4">
        <f>ROUND(B5/C5,0)</f>
        <v>0</v>
      </c>
      <c r="E5" s="5">
        <v>0.25</v>
      </c>
      <c r="F5" s="4">
        <f>ROUND(D5*E5,0)</f>
        <v>0</v>
      </c>
      <c r="G5" s="5">
        <v>0.6</v>
      </c>
      <c r="H5" s="4">
        <f>ROUND(F5*G5,0)</f>
        <v>0</v>
      </c>
      <c r="I5" s="5">
        <v>0.3</v>
      </c>
      <c r="J5" s="4">
        <f>ROUND(H5*I5,0)</f>
        <v>0</v>
      </c>
      <c r="K5" s="3">
        <v>1000</v>
      </c>
      <c r="L5" s="6">
        <f>J5*K5</f>
        <v>0</v>
      </c>
      <c r="M5" s="6">
        <f>IFERROR(B5/J5,0)</f>
        <v>0</v>
      </c>
      <c r="N5" s="2">
        <f>IFERROR(L5/B5,0)</f>
        <v>0</v>
      </c>
    </row>
    <row r="6" spans="1:15">
      <c r="A6" s="2" t="s">
        <v>19</v>
      </c>
      <c r="B6" s="3">
        <v>1000</v>
      </c>
      <c r="C6" s="3">
        <v>25</v>
      </c>
      <c r="D6" s="4">
        <f>ROUND(B6/C6,0)</f>
        <v>0</v>
      </c>
      <c r="E6" s="5">
        <v>0.25</v>
      </c>
      <c r="F6" s="4">
        <f>ROUND(D6*E6,0)</f>
        <v>0</v>
      </c>
      <c r="G6" s="5">
        <v>0.6</v>
      </c>
      <c r="H6" s="4">
        <f>ROUND(F6*G6,0)</f>
        <v>0</v>
      </c>
      <c r="I6" s="5">
        <v>0.3</v>
      </c>
      <c r="J6" s="4">
        <f>ROUND(H6*I6,0)</f>
        <v>0</v>
      </c>
      <c r="K6" s="3">
        <v>1000</v>
      </c>
      <c r="L6" s="6">
        <f>J6*K6</f>
        <v>0</v>
      </c>
      <c r="M6" s="6">
        <f>IFERROR(B6/J6,0)</f>
        <v>0</v>
      </c>
      <c r="N6" s="2">
        <f>IFERROR(L6/B6,0)</f>
        <v>0</v>
      </c>
    </row>
    <row r="8" spans="1:15">
      <c r="A8" s="1" t="s">
        <v>20</v>
      </c>
    </row>
    <row r="9" spans="1:15">
      <c r="A9" s="2" t="s">
        <v>21</v>
      </c>
    </row>
    <row r="10" spans="1:15">
      <c r="A10" s="2" t="s">
        <v>22</v>
      </c>
    </row>
    <row r="11" spans="1:15">
      <c r="A11" s="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Cenário 1 (3 clientes)</vt:lpstr>
      <vt:lpstr>Cenário 2 (2 clientes)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2025-09-04T21:28:46Z</dcterms:created>
  <dcterms:modified xsi:type="dcterms:W3CDTF">2025-09-04T21:28:46Z</dcterms:modified>
</cp:coreProperties>
</file>