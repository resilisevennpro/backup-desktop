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esentação" sheetId="1" r:id="rId4"/>
    <sheet state="visible" name="Materiais de Apoio" sheetId="2" r:id="rId5"/>
    <sheet state="visible" name="Controle de Verba - MÊSANO" sheetId="3" r:id="rId6"/>
    <sheet state="hidden" name="__Solver__" sheetId="4" r:id="rId7"/>
    <sheet state="hidden" name="__Solver___conflict1022534816" sheetId="5" r:id="rId8"/>
    <sheet state="hidden" name="__Solver___conflict1140783061" sheetId="6" r:id="rId9"/>
  </sheets>
  <definedNames/>
  <calcPr/>
</workbook>
</file>

<file path=xl/sharedStrings.xml><?xml version="1.0" encoding="utf-8"?>
<sst xmlns="http://schemas.openxmlformats.org/spreadsheetml/2006/main" count="96" uniqueCount="70">
  <si>
    <r>
      <rPr>
        <rFont val="Arial"/>
        <color theme="1"/>
      </rPr>
      <t>Você precisa fazer uma cópia da planilha para conseguir utilizar. Clique em "</t>
    </r>
    <r>
      <rPr>
        <rFont val="Arial"/>
        <b/>
        <color theme="1"/>
      </rPr>
      <t>Arquivo → Fazer uma cópia</t>
    </r>
    <r>
      <rPr>
        <rFont val="Arial"/>
        <color theme="1"/>
      </rPr>
      <t>" e salve sua versão para começar a editar.</t>
    </r>
  </si>
  <si>
    <t>Planilha - Controle mensal de verba em mídia paga</t>
  </si>
  <si>
    <t>Utilize esta planilha para gerenciar a verba mensal investida nas suas ações de mídia paga. Preencha as informações necessárias e receba automaticamente a projeção de Leads e Vendas.</t>
  </si>
  <si>
    <t>O que você irá encontrar na planilha:</t>
  </si>
  <si>
    <t>Visibilidade da divisão de verba</t>
  </si>
  <si>
    <t>Tenha em um único lugar qual a sua divisão completa de verba para mídia paga.</t>
  </si>
  <si>
    <t>Previsibilidade de resultados</t>
  </si>
  <si>
    <t>Com o preenchimento da divisão de verba e os custos, a planilha já te apresenta uma previsão de Leads gerados e vendas realizadas.</t>
  </si>
  <si>
    <t>Acompanhamento das principais métricas</t>
  </si>
  <si>
    <t>Identifique automaticamente qual o CAC e o ROI, as principais métricas para acomparnhar os resultados da sua estratégia de mídia paga.</t>
  </si>
  <si>
    <t>Quanto de verba falta alocar</t>
  </si>
  <si>
    <t>De acordo com a verba mensal definida e o valor investido para cada mídia, você consegue identificar quanto ainda tem disponível para investir.</t>
  </si>
  <si>
    <t>Passo a passo para utilizar a planilha:</t>
  </si>
  <si>
    <t>1. Verba mensal e Ticket Médio</t>
  </si>
  <si>
    <t>O primeiro passo é preencher qual o valor (em R$) da sua verba mensal de mídia paga e qual o Ticket Médio do seu produto ou serviço.</t>
  </si>
  <si>
    <t>2. Previsão de Alocação por estratégia</t>
  </si>
  <si>
    <t>Distribuindo entre as estratégias de Tofu, Mofu e Bofu, a planilha ajuda a identificar se a sua verba está ultrapassando o percentual definido.</t>
  </si>
  <si>
    <t>3. Divisão da Verba por mídia ou estratégia</t>
  </si>
  <si>
    <t>Faça a alocação de verba para cada tipo de mídia e estratégia, preenchendo os valores em R$.</t>
  </si>
  <si>
    <t>4. Custo por Lead por mídia ou estratégia</t>
  </si>
  <si>
    <t>Informe qual é o seu custo de geração de Leads (CPL) para cada tipo de mídia e estratégia.</t>
  </si>
  <si>
    <t>5. % de Lead → Vendas por mídia e por estratégia</t>
  </si>
  <si>
    <t>Preencha qual o percentual de conversão dos Leads gerados para vendas, de acordo com cada mídia e estratégia.</t>
  </si>
  <si>
    <t>Atenção →</t>
  </si>
  <si>
    <t>Os números já preenchidos são meramente ilustrativos. Substitua pelos dados corretos da sua empresa!</t>
  </si>
  <si>
    <t>Faça o seu controle mensal!</t>
  </si>
  <si>
    <t>Duplique a aba de Controle de Verba para fazer o controle mês a mês.</t>
  </si>
  <si>
    <t>Ficou com dúvida sobre algum termo ou sobre a importância de acompanhar cada um desses dados? Acesse os materiais de apoio!</t>
  </si>
  <si>
    <t>Materiais de Apoio</t>
  </si>
  <si>
    <t>Confira uma lista de materiais e conteúdos que vão ajudar você a entender sobre planejamento, as principais métricas e as melhores estratégias para mídia paga!</t>
  </si>
  <si>
    <t>Métricas de mídia paga:</t>
  </si>
  <si>
    <t>Planejamento e estratégias para mídia paga:</t>
  </si>
  <si>
    <t>Ferramentas para melhorar seus resultados de Marketing e Vendas:</t>
  </si>
  <si>
    <t>RD Station Marketing → A ferramenta tudo em um para gerenciar e automatizar suas ações de Marketing Digital</t>
  </si>
  <si>
    <t>CONTROLE DE VERBA EM MÍDIA PAGA | MÊS/ANO</t>
  </si>
  <si>
    <t>Valor Automático</t>
  </si>
  <si>
    <t>Qual a sua Verba Mensal de Mídia Paga?</t>
  </si>
  <si>
    <t>Falta Alocar</t>
  </si>
  <si>
    <t>Qual é o seu Ticket Médio?</t>
  </si>
  <si>
    <t>Previsão de Alocação por estratégia</t>
  </si>
  <si>
    <t>Previsão do nº de Leads gerados com essa alocação</t>
  </si>
  <si>
    <t>ToFu</t>
  </si>
  <si>
    <t>Previsão de Vendas com essa alocação</t>
  </si>
  <si>
    <t>MoFu</t>
  </si>
  <si>
    <t>CAC</t>
  </si>
  <si>
    <t>BoFu</t>
  </si>
  <si>
    <t>ROI</t>
  </si>
  <si>
    <t>Divisão da Verba por mídia e estratégia</t>
  </si>
  <si>
    <t>Preencha no quadro abaixo qual o valor investido para cada tipo de mídia e estratégia</t>
  </si>
  <si>
    <t>Facebook  + Instagram</t>
  </si>
  <si>
    <t>Google Pesquisa</t>
  </si>
  <si>
    <t>Google Display</t>
  </si>
  <si>
    <t>← Altere os valores de acordo com seus investimentos</t>
  </si>
  <si>
    <t>Youtube</t>
  </si>
  <si>
    <t>LinkedIn</t>
  </si>
  <si>
    <t>Outras mídias</t>
  </si>
  <si>
    <t>Total</t>
  </si>
  <si>
    <t>Custo por Lead (CPL) por mídia e estratégia</t>
  </si>
  <si>
    <t>Preencha no quadro abaixo qual é o seu custo para cada Lead gerado por tipo de mídia e estratégia</t>
  </si>
  <si>
    <r>
      <rPr>
        <rFont val="Arial"/>
        <b/>
        <color theme="1"/>
      </rPr>
      <t xml:space="preserve">← Altere os valores de acordo com seu CPL
</t>
    </r>
    <r>
      <rPr>
        <rFont val="Arial"/>
        <color theme="1"/>
        <u/>
      </rPr>
      <t>Obs.:</t>
    </r>
    <r>
      <rPr>
        <rFont val="Arial"/>
        <color theme="1"/>
      </rPr>
      <t xml:space="preserve"> Os valores devem ser diferentes de 0</t>
    </r>
  </si>
  <si>
    <t>% de Lead → Vendas por mídia e por estratégia</t>
  </si>
  <si>
    <t>Preencha qual o percentual de conversão dos Leads gerados para Vendas por tipo de mídia e estratégia</t>
  </si>
  <si>
    <r>
      <rPr>
        <rFont val="Arial"/>
        <b/>
        <i/>
        <color theme="1"/>
      </rPr>
      <t>Obs.:</t>
    </r>
    <r>
      <rPr>
        <rFont val="Arial"/>
        <i/>
        <color theme="1"/>
      </rPr>
      <t xml:space="preserve"> Para calcular, é só dividir o nº de Vendas pelo nº de Leads (Ex.: 1000 leads → 50 vendas = 5%)</t>
    </r>
  </si>
  <si>
    <t>← Altere de acordo com sua taxa de conversão</t>
  </si>
  <si>
    <t>2020191581277350428</t>
  </si>
  <si>
    <t>upQdmYodiu9agjC</t>
  </si>
  <si>
    <t>OSA=</t>
  </si>
  <si>
    <t>RV5hVF1pX1VFRBVRS1tvRV5hVF1qQ1RFRAlRS1pvRV5hU1h1XFRFRBVR</t>
  </si>
  <si>
    <t>RENj</t>
  </si>
  <si>
    <t>RkE=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</si>
</sst>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"/>
    <numFmt numFmtId="165" formatCode="0.0"/>
    <numFmt numFmtId="166" formatCode="0.0%"/>
  </numFmts>
  <fonts count="22">
    <font>
      <sz val="10.0"/>
      <color rgb="FF000000"/>
      <name val="Arial"/>
    </font>
    <font>
      <b/>
      <color theme="1"/>
      <name val="Arial"/>
    </font>
    <font>
      <color theme="1"/>
      <name val="Arial"/>
    </font>
    <font>
      <b/>
      <sz val="17.0"/>
      <color theme="1"/>
      <name val="Arial"/>
    </font>
    <font>
      <b/>
      <sz val="12.0"/>
      <color rgb="FF000000"/>
      <name val="Arial"/>
    </font>
    <font>
      <color rgb="FF000000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u/>
      <sz val="12.0"/>
      <color rgb="FF0000FF"/>
    </font>
    <font>
      <b/>
      <u/>
      <sz val="10.0"/>
      <color rgb="FF0000FF"/>
    </font>
    <font>
      <b/>
      <sz val="10.0"/>
      <color theme="1"/>
      <name val="Arial"/>
    </font>
    <font>
      <b/>
      <u/>
      <sz val="10.0"/>
      <color rgb="FF1155CC"/>
    </font>
    <font>
      <sz val="10.0"/>
      <color theme="1"/>
      <name val="Arial"/>
    </font>
    <font>
      <b/>
      <sz val="18.0"/>
      <color rgb="FFFFFFFF"/>
      <name val="Arial"/>
    </font>
    <font/>
    <font>
      <b/>
      <color rgb="FF000000"/>
      <name val="Arial"/>
    </font>
    <font>
      <color rgb="FFEFEFEF"/>
      <name val="Arial"/>
    </font>
    <font>
      <i/>
      <color theme="1"/>
      <name val="Arial"/>
    </font>
    <font>
      <b/>
      <color theme="5"/>
      <name val="Arial"/>
    </font>
    <font>
      <b/>
      <color rgb="FFEA4335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0" fillId="3" fontId="15" numFmtId="0" xfId="0" applyAlignment="1" applyFill="1" applyFont="1">
      <alignment horizontal="left" readingOrder="0" vertical="center"/>
    </xf>
    <xf borderId="1" fillId="0" fontId="16" numFmtId="0" xfId="0" applyBorder="1" applyFont="1"/>
    <xf borderId="0" fillId="4" fontId="2" numFmtId="0" xfId="0" applyAlignment="1" applyFill="1" applyFont="1">
      <alignment horizontal="center"/>
    </xf>
    <xf borderId="0" fillId="4" fontId="1" numFmtId="0" xfId="0" applyAlignment="1" applyFont="1">
      <alignment horizontal="center" readingOrder="0"/>
    </xf>
    <xf borderId="0" fillId="4" fontId="2" numFmtId="164" xfId="0" applyAlignment="1" applyFont="1" applyNumberFormat="1">
      <alignment horizontal="center" readingOrder="0"/>
    </xf>
    <xf borderId="0" fillId="4" fontId="17" numFmtId="0" xfId="0" applyAlignment="1" applyFont="1">
      <alignment horizontal="center" readingOrder="0"/>
    </xf>
    <xf borderId="2" fillId="5" fontId="5" numFmtId="164" xfId="0" applyAlignment="1" applyBorder="1" applyFill="1" applyFont="1" applyNumberFormat="1">
      <alignment horizontal="center" readingOrder="0"/>
    </xf>
    <xf borderId="3" fillId="5" fontId="1" numFmtId="0" xfId="0" applyAlignment="1" applyBorder="1" applyFont="1">
      <alignment horizontal="center" readingOrder="0"/>
    </xf>
    <xf borderId="4" fillId="6" fontId="2" numFmtId="164" xfId="0" applyAlignment="1" applyBorder="1" applyFill="1" applyFont="1" applyNumberFormat="1">
      <alignment horizontal="center" readingOrder="0"/>
    </xf>
    <xf borderId="5" fillId="7" fontId="17" numFmtId="0" xfId="0" applyAlignment="1" applyBorder="1" applyFill="1" applyFont="1">
      <alignment horizontal="center" readingOrder="0"/>
    </xf>
    <xf borderId="6" fillId="5" fontId="17" numFmtId="164" xfId="0" applyAlignment="1" applyBorder="1" applyFont="1" applyNumberFormat="1">
      <alignment horizontal="center" readingOrder="0"/>
    </xf>
    <xf borderId="7" fillId="5" fontId="1" numFmtId="0" xfId="0" applyAlignment="1" applyBorder="1" applyFont="1">
      <alignment horizontal="center" readingOrder="0"/>
    </xf>
    <xf borderId="6" fillId="6" fontId="2" numFmtId="164" xfId="0" applyAlignment="1" applyBorder="1" applyFont="1" applyNumberFormat="1">
      <alignment horizontal="center" readingOrder="0"/>
    </xf>
    <xf borderId="0" fillId="4" fontId="1" numFmtId="0" xfId="0" applyAlignment="1" applyFont="1">
      <alignment horizontal="left" readingOrder="0"/>
    </xf>
    <xf borderId="0" fillId="4" fontId="18" numFmtId="0" xfId="0" applyAlignment="1" applyFont="1">
      <alignment horizontal="center"/>
    </xf>
    <xf borderId="2" fillId="5" fontId="2" numFmtId="0" xfId="0" applyAlignment="1" applyBorder="1" applyFont="1">
      <alignment horizontal="center" readingOrder="0"/>
    </xf>
    <xf borderId="3" fillId="7" fontId="1" numFmtId="0" xfId="0" applyAlignment="1" applyBorder="1" applyFont="1">
      <alignment horizontal="left" readingOrder="0"/>
    </xf>
    <xf borderId="4" fillId="0" fontId="16" numFmtId="0" xfId="0" applyBorder="1" applyFont="1"/>
    <xf borderId="3" fillId="7" fontId="17" numFmtId="0" xfId="0" applyAlignment="1" applyBorder="1" applyFont="1">
      <alignment horizontal="center" readingOrder="0"/>
    </xf>
    <xf borderId="8" fillId="5" fontId="1" numFmtId="1" xfId="0" applyAlignment="1" applyBorder="1" applyFont="1" applyNumberFormat="1">
      <alignment horizontal="center"/>
    </xf>
    <xf borderId="9" fillId="5" fontId="1" numFmtId="0" xfId="0" applyAlignment="1" applyBorder="1" applyFont="1">
      <alignment horizontal="center" readingOrder="0"/>
    </xf>
    <xf borderId="8" fillId="6" fontId="2" numFmtId="9" xfId="0" applyAlignment="1" applyBorder="1" applyFont="1" applyNumberFormat="1">
      <alignment horizontal="center" readingOrder="0"/>
    </xf>
    <xf borderId="0" fillId="4" fontId="18" numFmtId="164" xfId="0" applyAlignment="1" applyFont="1" applyNumberFormat="1">
      <alignment horizontal="center"/>
    </xf>
    <xf borderId="9" fillId="7" fontId="17" numFmtId="0" xfId="0" applyAlignment="1" applyBorder="1" applyFont="1">
      <alignment horizontal="center" readingOrder="0"/>
    </xf>
    <xf borderId="8" fillId="5" fontId="1" numFmtId="164" xfId="0" applyAlignment="1" applyBorder="1" applyFont="1" applyNumberFormat="1">
      <alignment horizontal="center"/>
    </xf>
    <xf borderId="6" fillId="6" fontId="2" numFmtId="9" xfId="0" applyAlignment="1" applyBorder="1" applyFont="1" applyNumberFormat="1">
      <alignment horizontal="center" readingOrder="0"/>
    </xf>
    <xf borderId="7" fillId="7" fontId="17" numFmtId="0" xfId="0" applyAlignment="1" applyBorder="1" applyFont="1">
      <alignment horizontal="center" readingOrder="0"/>
    </xf>
    <xf borderId="6" fillId="5" fontId="1" numFmtId="165" xfId="0" applyAlignment="1" applyBorder="1" applyFont="1" applyNumberFormat="1">
      <alignment horizontal="center"/>
    </xf>
    <xf borderId="0" fillId="4" fontId="2" numFmtId="0" xfId="0" applyAlignment="1" applyFont="1">
      <alignment horizontal="center" readingOrder="0"/>
    </xf>
    <xf borderId="3" fillId="7" fontId="1" numFmtId="0" xfId="0" applyAlignment="1" applyBorder="1" applyFont="1">
      <alignment horizontal="center" readingOrder="0"/>
    </xf>
    <xf borderId="10" fillId="0" fontId="16" numFmtId="0" xfId="0" applyBorder="1" applyFont="1"/>
    <xf borderId="9" fillId="7" fontId="19" numFmtId="0" xfId="0" applyAlignment="1" applyBorder="1" applyFont="1">
      <alignment horizontal="center" readingOrder="0"/>
    </xf>
    <xf borderId="8" fillId="0" fontId="16" numFmtId="0" xfId="0" applyBorder="1" applyFont="1"/>
    <xf borderId="9" fillId="5" fontId="1" numFmtId="0" xfId="0" applyAlignment="1" applyBorder="1" applyFont="1">
      <alignment horizontal="center"/>
    </xf>
    <xf borderId="0" fillId="5" fontId="1" numFmtId="0" xfId="0" applyAlignment="1" applyFont="1">
      <alignment horizontal="center" readingOrder="0"/>
    </xf>
    <xf borderId="8" fillId="5" fontId="1" numFmtId="0" xfId="0" applyAlignment="1" applyBorder="1" applyFont="1">
      <alignment horizontal="center" readingOrder="0"/>
    </xf>
    <xf borderId="0" fillId="6" fontId="2" numFmtId="164" xfId="0" applyAlignment="1" applyFont="1" applyNumberFormat="1">
      <alignment horizontal="center" readingOrder="0"/>
    </xf>
    <xf borderId="8" fillId="6" fontId="2" numFmtId="164" xfId="0" applyAlignment="1" applyBorder="1" applyFont="1" applyNumberFormat="1">
      <alignment horizontal="center" readingOrder="0"/>
    </xf>
    <xf borderId="9" fillId="4" fontId="1" numFmtId="0" xfId="0" applyAlignment="1" applyBorder="1" applyFont="1">
      <alignment horizontal="center" readingOrder="0"/>
    </xf>
    <xf borderId="0" fillId="5" fontId="20" numFmtId="0" xfId="0" applyAlignment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1" fillId="6" fontId="1" numFmtId="164" xfId="0" applyAlignment="1" applyBorder="1" applyFont="1" applyNumberFormat="1">
      <alignment horizontal="center" readingOrder="0"/>
    </xf>
    <xf borderId="6" fillId="6" fontId="1" numFmtId="164" xfId="0" applyAlignment="1" applyBorder="1" applyFont="1" applyNumberFormat="1">
      <alignment horizontal="center" readingOrder="0"/>
    </xf>
    <xf borderId="9" fillId="5" fontId="19" numFmtId="0" xfId="0" applyAlignment="1" applyBorder="1" applyFont="1">
      <alignment horizontal="center" readingOrder="0"/>
    </xf>
    <xf borderId="9" fillId="5" fontId="21" numFmtId="0" xfId="0" applyAlignment="1" applyBorder="1" applyFont="1">
      <alignment horizontal="center" readingOrder="0"/>
    </xf>
    <xf borderId="7" fillId="5" fontId="20" numFmtId="0" xfId="0" applyAlignment="1" applyBorder="1" applyFont="1">
      <alignment horizontal="center" readingOrder="0"/>
    </xf>
    <xf borderId="1" fillId="6" fontId="2" numFmtId="164" xfId="0" applyAlignment="1" applyBorder="1" applyFont="1" applyNumberFormat="1">
      <alignment horizontal="center" readingOrder="0"/>
    </xf>
    <xf borderId="0" fillId="6" fontId="2" numFmtId="166" xfId="0" applyAlignment="1" applyFont="1" applyNumberFormat="1">
      <alignment horizontal="center" readingOrder="0"/>
    </xf>
    <xf borderId="8" fillId="6" fontId="2" numFmtId="166" xfId="0" applyAlignment="1" applyBorder="1" applyFont="1" applyNumberFormat="1">
      <alignment horizontal="center" readingOrder="0"/>
    </xf>
    <xf borderId="9" fillId="5" fontId="20" numFmtId="0" xfId="0" applyAlignment="1" applyBorder="1" applyFont="1">
      <alignment horizontal="center" readingOrder="0"/>
    </xf>
    <xf borderId="1" fillId="6" fontId="2" numFmtId="166" xfId="0" applyAlignment="1" applyBorder="1" applyFont="1" applyNumberFormat="1">
      <alignment horizontal="center" readingOrder="0"/>
    </xf>
    <xf borderId="6" fillId="6" fontId="2" numFmtId="166" xfId="0" applyAlignment="1" applyBorder="1" applyFont="1" applyNumberFormat="1">
      <alignment horizontal="center"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" xfId="0" applyFont="1" applyNumberForma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1</xdr:row>
      <xdr:rowOff>95250</xdr:rowOff>
    </xdr:from>
    <xdr:ext cx="1800225" cy="5143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0</xdr:row>
      <xdr:rowOff>28575</xdr:rowOff>
    </xdr:from>
    <xdr:ext cx="3419475" cy="76200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581025</xdr:colOff>
      <xdr:row>0</xdr:row>
      <xdr:rowOff>0</xdr:rowOff>
    </xdr:from>
    <xdr:ext cx="2676525" cy="600075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teriais.resultadosdigitais.com.br/antes-depois-rdsm?utm_source=planilha&amp;utm_medium=referral&amp;utm_campaign=br-inb-materiais-planilha-launch-planilha_controle_de_verba_em_midia_paga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7.29"/>
    <col customWidth="1" min="2" max="4" width="8.29"/>
    <col customWidth="1" min="5" max="5" width="10.71"/>
    <col customWidth="1" min="6" max="21" width="7.86"/>
  </cols>
  <sheetData>
    <row r="1" ht="18.75" customHeight="1">
      <c r="A1" s="1"/>
      <c r="B1" s="2" t="s">
        <v>0</v>
      </c>
      <c r="U1" s="3"/>
    </row>
    <row r="2" ht="18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8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8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8.75" customHeight="1">
      <c r="A5" s="3"/>
      <c r="B5" s="4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8.75" customHeight="1">
      <c r="A6" s="3"/>
      <c r="B6" s="5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8.75" customHeight="1">
      <c r="A8" s="3"/>
      <c r="B8" s="6" t="s">
        <v>3</v>
      </c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3"/>
      <c r="S8" s="3"/>
      <c r="T8" s="3"/>
      <c r="U8" s="3"/>
    </row>
    <row r="9" ht="18.75" customHeight="1">
      <c r="A9" s="3"/>
      <c r="B9" s="9"/>
      <c r="C9" s="3"/>
      <c r="D9" s="3"/>
      <c r="R9" s="3"/>
      <c r="S9" s="3"/>
      <c r="T9" s="3"/>
      <c r="U9" s="3"/>
    </row>
    <row r="10" ht="18.75" customHeight="1">
      <c r="A10" s="3"/>
      <c r="B10" s="10" t="s">
        <v>4</v>
      </c>
      <c r="C10" s="11"/>
      <c r="E10" s="12"/>
      <c r="F10" s="12"/>
      <c r="G10" s="12" t="s">
        <v>5</v>
      </c>
    </row>
    <row r="11" ht="18.0" customHeight="1">
      <c r="A11" s="3"/>
      <c r="B11" s="10" t="s">
        <v>6</v>
      </c>
      <c r="C11" s="11"/>
      <c r="E11" s="12"/>
      <c r="F11" s="12"/>
      <c r="G11" s="12" t="s">
        <v>7</v>
      </c>
    </row>
    <row r="12" ht="18.0" customHeight="1">
      <c r="A12" s="3"/>
      <c r="B12" s="10" t="s">
        <v>8</v>
      </c>
      <c r="C12" s="11"/>
      <c r="E12" s="12"/>
      <c r="F12" s="12"/>
      <c r="G12" s="13" t="s">
        <v>9</v>
      </c>
    </row>
    <row r="13" ht="18.75" customHeight="1">
      <c r="A13" s="3"/>
      <c r="B13" s="10" t="s">
        <v>10</v>
      </c>
      <c r="C13" s="11"/>
      <c r="E13" s="14"/>
      <c r="F13" s="14"/>
      <c r="G13" s="14" t="s">
        <v>11</v>
      </c>
    </row>
    <row r="14" ht="18.75" customHeight="1">
      <c r="A14" s="3"/>
      <c r="B14" s="15"/>
      <c r="C14" s="11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ht="18.75" customHeight="1">
      <c r="A15" s="3"/>
      <c r="B15" s="6" t="s">
        <v>12</v>
      </c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3"/>
      <c r="S15" s="3"/>
      <c r="T15" s="3"/>
      <c r="U15" s="3"/>
    </row>
    <row r="16" ht="18.75" customHeight="1">
      <c r="A16" s="3"/>
      <c r="B16" s="15"/>
      <c r="C16" s="11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ht="18.75" customHeight="1">
      <c r="A17" s="3"/>
      <c r="B17" s="15" t="s">
        <v>13</v>
      </c>
      <c r="C17" s="11"/>
      <c r="E17" s="16"/>
      <c r="F17" s="14"/>
      <c r="G17" s="14" t="s">
        <v>14</v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ht="18.75" customHeight="1">
      <c r="A18" s="3"/>
      <c r="B18" s="15" t="s">
        <v>15</v>
      </c>
      <c r="C18" s="11"/>
      <c r="E18" s="16"/>
      <c r="F18" s="14"/>
      <c r="G18" s="14" t="s">
        <v>16</v>
      </c>
    </row>
    <row r="19" ht="18.75" customHeight="1">
      <c r="A19" s="3"/>
      <c r="B19" s="15" t="s">
        <v>17</v>
      </c>
      <c r="C19" s="11"/>
      <c r="E19" s="16"/>
      <c r="F19" s="14"/>
      <c r="G19" s="14" t="s">
        <v>18</v>
      </c>
    </row>
    <row r="20" ht="18.75" customHeight="1">
      <c r="A20" s="3"/>
      <c r="B20" s="15" t="s">
        <v>19</v>
      </c>
      <c r="C20" s="11"/>
      <c r="E20" s="16"/>
      <c r="F20" s="14"/>
      <c r="G20" s="14" t="s">
        <v>20</v>
      </c>
    </row>
    <row r="21" ht="18.75" customHeight="1">
      <c r="A21" s="3"/>
      <c r="B21" s="15" t="s">
        <v>21</v>
      </c>
      <c r="C21" s="11"/>
      <c r="E21" s="16"/>
      <c r="F21" s="14"/>
      <c r="G21" s="14" t="s">
        <v>22</v>
      </c>
    </row>
    <row r="22" ht="18.75" customHeight="1">
      <c r="A22" s="3"/>
      <c r="B22" s="15"/>
      <c r="C22" s="11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ht="18.75" customHeight="1">
      <c r="A23" s="3"/>
      <c r="B23" s="17" t="s">
        <v>23</v>
      </c>
      <c r="G23" s="18" t="s">
        <v>24</v>
      </c>
    </row>
    <row r="24" ht="21.0" customHeight="1">
      <c r="A24" s="3"/>
      <c r="B24" s="17" t="s">
        <v>25</v>
      </c>
      <c r="G24" s="18" t="s">
        <v>26</v>
      </c>
    </row>
    <row r="25" ht="21.0" customHeight="1">
      <c r="A25" s="3"/>
      <c r="R25" s="3"/>
      <c r="S25" s="3"/>
      <c r="T25" s="3"/>
      <c r="U25" s="3"/>
    </row>
    <row r="26" ht="18.75" customHeight="1">
      <c r="A26" s="19"/>
      <c r="B26" s="20" t="s">
        <v>27</v>
      </c>
      <c r="U26" s="19"/>
    </row>
    <row r="27" ht="18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</sheetData>
  <mergeCells count="14">
    <mergeCell ref="G20:U20"/>
    <mergeCell ref="G21:U21"/>
    <mergeCell ref="B23:F23"/>
    <mergeCell ref="G23:U23"/>
    <mergeCell ref="B24:F24"/>
    <mergeCell ref="G24:U24"/>
    <mergeCell ref="B26:T26"/>
    <mergeCell ref="B1:T1"/>
    <mergeCell ref="G10:U10"/>
    <mergeCell ref="G11:U11"/>
    <mergeCell ref="G12:U12"/>
    <mergeCell ref="G13:U13"/>
    <mergeCell ref="G18:U18"/>
    <mergeCell ref="G19:U19"/>
  </mergeCells>
  <hyperlinks>
    <hyperlink display="Ficou com dúvida sobre algum termo ou sobre a importância de acompanhar cada um desses dados? Acesse os materiais de apoio!" location="Materiais de Apoio!A1" ref="B2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7.29"/>
    <col customWidth="1" min="2" max="4" width="8.29"/>
    <col customWidth="1" min="5" max="5" width="10.71"/>
    <col customWidth="1" min="6" max="21" width="7.86"/>
  </cols>
  <sheetData>
    <row r="1" ht="18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8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9"/>
      <c r="O2" s="9"/>
      <c r="P2" s="9"/>
      <c r="Q2" s="9"/>
      <c r="R2" s="9"/>
      <c r="S2" s="9"/>
      <c r="T2" s="3"/>
      <c r="U2" s="3"/>
    </row>
    <row r="3" ht="18.75" customHeight="1">
      <c r="A3" s="3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8.75" customHeight="1">
      <c r="A4" s="3"/>
      <c r="B4" s="4" t="s">
        <v>28</v>
      </c>
      <c r="C4" s="3"/>
      <c r="D4" s="3"/>
      <c r="E4" s="3"/>
      <c r="F4" s="3"/>
      <c r="G4" s="3"/>
      <c r="H4" s="3"/>
      <c r="I4" s="3"/>
      <c r="J4" s="3"/>
      <c r="K4" s="3"/>
      <c r="L4" s="21"/>
      <c r="M4" s="3"/>
      <c r="N4" s="3"/>
      <c r="O4" s="3"/>
      <c r="P4" s="3"/>
      <c r="Q4" s="3"/>
      <c r="R4" s="3"/>
      <c r="S4" s="3"/>
      <c r="T4" s="3"/>
      <c r="U4" s="3"/>
    </row>
    <row r="5" ht="18.75" customHeight="1">
      <c r="A5" s="3"/>
      <c r="B5" s="5" t="s">
        <v>29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8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8.75" customHeight="1">
      <c r="A7" s="3"/>
      <c r="B7" s="6" t="s">
        <v>30</v>
      </c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3"/>
      <c r="Q7" s="3"/>
      <c r="R7" s="3"/>
      <c r="S7" s="3"/>
      <c r="T7" s="3"/>
      <c r="U7" s="3"/>
    </row>
    <row r="8" ht="18.75" customHeight="1">
      <c r="A8" s="3"/>
      <c r="B8" s="9"/>
      <c r="C8" s="3"/>
      <c r="D8" s="3"/>
      <c r="R8" s="3"/>
      <c r="S8" s="3"/>
      <c r="T8" s="3"/>
      <c r="U8" s="3"/>
    </row>
    <row r="9" ht="18.75" customHeight="1">
      <c r="A9" s="3"/>
      <c r="B9" s="22" t="str">
        <f>HYPERLINK("https://resultadosdigitais.com.br/blog/o-que-e-custo-de-aquisicao-de-clientes/?utm_source=planilha&amp;utm_medium=referral&amp;utm_campaign=br-inb-materiais-planilha-launch-planilha_controle_de_verba_em_midia_paga","Tudo sobre o Custo de Aquisição de Clientes: o que é, como calcular e como otimizar o CAC de sua empresa")</f>
        <v>Tudo sobre o Custo de Aquisição de Clientes: o que é, como calcular e como otimizar o CAC de sua empresa</v>
      </c>
    </row>
    <row r="10" ht="18.0" customHeight="1">
      <c r="A10" s="3"/>
      <c r="B10" s="22" t="str">
        <f>HYPERLINK("https://resultadosdigitais.com.br/blog/o-que-e-cpc-cpm-cpa/?utm_source=planilha&amp;utm_medium=referral&amp;utm_campaign=br-inb-materiais-planilha-launch-planilha_controle_de_verba_em_midia_paga","Entenda o que é Custo por Clique (CPC), Custo por Mil (CPM) e Custo por Aquisição (CPA) e aprenda a calcular cada uma das métricas")</f>
        <v>Entenda o que é Custo por Clique (CPC), Custo por Mil (CPM) e Custo por Aquisição (CPA) e aprenda a calcular cada uma das métricas</v>
      </c>
    </row>
    <row r="11" ht="18.0" customHeight="1">
      <c r="A11" s="3"/>
      <c r="B11" s="22" t="str">
        <f>HYPERLINK("https://resultadosdigitais.com.br/blog/o-que-e-roi-retorno-sobre-investimento/?utm_source=planilha&amp;utm_medium=referral&amp;utm_campaign=br-inb-materiais-planilha-launch-planilha_controle_de_verba_em_midia_paga","ROI: o que é, como e por que calcular o Retorno sobre o Investimento")</f>
        <v>ROI: o que é, como e por que calcular o Retorno sobre o Investimento</v>
      </c>
    </row>
    <row r="12" ht="18.75" customHeight="1">
      <c r="A12" s="3"/>
      <c r="B12" s="22" t="str">
        <f>HYPERLINK("https://resultadosdigitais.com.br/blog/ticket-medio/?utm_source=planilha&amp;utm_medium=referral&amp;utm_campaign=br-inb-materiais-planilha-launch-planilha_controle_de_verba_em_midia_paga","O que é e como aumentar o ticket médio na sua empresa")</f>
        <v>O que é e como aumentar o ticket médio na sua empresa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 ht="18.75" customHeight="1">
      <c r="A13" s="3"/>
      <c r="B13" s="22" t="str">
        <f>HYPERLINK("https://resultadosdigitais.com.br/blog/metricas-de-marketing/?utm_source=planilha&amp;utm_medium=referral&amp;utm_campaign=br-inb-materiais-planilha-launch-planilha_controle_de_verba_em_midia_paga","Quais métricas de marketing realmente medem o sucesso do meu negócio?")</f>
        <v>Quais métricas de marketing realmente medem o sucesso do meu negócio?</v>
      </c>
    </row>
    <row r="14" ht="18.75" customHeight="1">
      <c r="A14" s="3"/>
      <c r="B14" s="15"/>
      <c r="C14" s="11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24"/>
      <c r="T14" s="14"/>
      <c r="U14" s="14"/>
    </row>
    <row r="15" ht="18.75" customHeight="1">
      <c r="A15" s="3"/>
      <c r="B15" s="6" t="s">
        <v>31</v>
      </c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"/>
      <c r="Q15" s="3"/>
      <c r="R15" s="3"/>
      <c r="S15" s="3"/>
      <c r="T15" s="3"/>
      <c r="U15" s="3"/>
    </row>
    <row r="16" ht="18.75" customHeight="1">
      <c r="A16" s="3"/>
      <c r="B16" s="15"/>
      <c r="C16" s="11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ht="18.75" customHeight="1">
      <c r="A17" s="3"/>
      <c r="B17" s="22" t="str">
        <f>HYPERLINK("https://resultadosdigitais.com.br/blog/o-que-e-tofu-mofu-bofu/?utm_source=planilha&amp;utm_medium=referral&amp;utm_campaign=br-inb-materiais-planilha-launch-planilha_controle_de_verba_em_midia_paga","O que é Topo de Funil (ToFu), Meio de Funil (MoFu) e Fundo de Funil (BoFu)")</f>
        <v>O que é Topo de Funil (ToFu), Meio de Funil (MoFu) e Fundo de Funil (BoFu)</v>
      </c>
      <c r="C17" s="11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ht="18.75" customHeight="1">
      <c r="A18" s="3"/>
      <c r="B18" s="22" t="str">
        <f>HYPERLINK("https://resultadosdigitais.com.br/blog/canais-midia-paga/?utm_source=planilha&amp;utm_medium=referral&amp;utm_campaign=br-inb-materiais-planilha-launch-planilha_controle_de_verba_em_midia_paga","Conheça os principais canais de mídia paga em que você pode investir")</f>
        <v>Conheça os principais canais de mídia paga em que você pode investir</v>
      </c>
      <c r="S18" s="14"/>
      <c r="T18" s="14"/>
      <c r="U18" s="14"/>
    </row>
    <row r="19" ht="18.75" customHeight="1">
      <c r="A19" s="3"/>
      <c r="B19" s="22" t="str">
        <f>HYPERLINK("http://materiais.resultadosdigitais.com.br/midia-paga-inbound-marketing-v","[eBook + Checklist] Guia da Mídia Paga para Inbound Marketing")</f>
        <v>[eBook + Checklist] Guia da Mídia Paga para Inbound Marketing</v>
      </c>
      <c r="S19" s="14"/>
      <c r="T19" s="14"/>
      <c r="U19" s="14"/>
    </row>
    <row r="20" ht="18.75" customHeight="1">
      <c r="A20" s="3"/>
      <c r="B20" s="22" t="str">
        <f>HYPERLINK("https://materiais.resultadosdigitais.com.br/kit-analise-e-planejamento-mkt-digital/?utm_source=planilha&amp;utm_medium=referral&amp;utm_campaign=br-inb-materiais-planilha-launch-planilha_controle_de_verba_em_midia_paga","[Kit] Análise e Planejamento de Marketing Digital")</f>
        <v>[Kit] Análise e Planejamento de Marketing Digital</v>
      </c>
      <c r="S20" s="14"/>
      <c r="T20" s="14"/>
      <c r="U20" s="14"/>
    </row>
    <row r="21" ht="18.75" customHeight="1">
      <c r="A21" s="3"/>
      <c r="B21" s="15"/>
      <c r="C21" s="11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ht="18.75" customHeight="1">
      <c r="A22" s="3"/>
      <c r="B22" s="6" t="s">
        <v>32</v>
      </c>
      <c r="C22" s="7"/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"/>
      <c r="Q22" s="3"/>
      <c r="R22" s="3"/>
      <c r="S22" s="3"/>
      <c r="T22" s="3"/>
      <c r="U22" s="3"/>
    </row>
    <row r="23" ht="18.75" customHeight="1">
      <c r="A23" s="3"/>
      <c r="B23" s="15"/>
      <c r="C23" s="11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ht="18.75" customHeight="1">
      <c r="A24" s="3"/>
      <c r="B24" s="25" t="s">
        <v>33</v>
      </c>
      <c r="S24" s="14"/>
      <c r="T24" s="14"/>
      <c r="U24" s="14"/>
    </row>
    <row r="25" ht="18.75" customHeight="1">
      <c r="A25" s="3"/>
      <c r="B25" s="22" t="str">
        <f>HYPERLINK("https://materiais.resultadosdigitais.com.br/novo-bate-papo-hr-crm?utm_source=planilha&amp;utm_medium=referral&amp;utm_campaign=br-inb-materiais-planilha-launch-planilha_controle_de_verba_em_midia_paga","RD Station CRM → Controle seu processo comercial e aumente vendas usando o novo CRM")</f>
        <v>RD Station CRM → Controle seu processo comercial e aumente vendas usando o novo CRM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3"/>
      <c r="T25" s="3"/>
      <c r="U25" s="3"/>
    </row>
    <row r="26" ht="18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</sheetData>
  <mergeCells count="8">
    <mergeCell ref="B9:U9"/>
    <mergeCell ref="B10:U10"/>
    <mergeCell ref="B11:U11"/>
    <mergeCell ref="B13:U13"/>
    <mergeCell ref="B18:R18"/>
    <mergeCell ref="B19:R19"/>
    <mergeCell ref="B20:R20"/>
    <mergeCell ref="B24:R24"/>
  </mergeCells>
  <hyperlinks>
    <hyperlink r:id="rId1" ref="B2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47.57"/>
    <col customWidth="1" min="5" max="5" width="21.29"/>
  </cols>
  <sheetData>
    <row r="1">
      <c r="A1" s="27" t="s">
        <v>34</v>
      </c>
    </row>
    <row r="3">
      <c r="A3" s="28"/>
      <c r="B3" s="28"/>
      <c r="C3" s="28"/>
      <c r="D3" s="28"/>
      <c r="E3" s="28"/>
      <c r="F3" s="28"/>
      <c r="G3" s="28"/>
    </row>
    <row r="4">
      <c r="A4" s="29"/>
      <c r="B4" s="29"/>
      <c r="C4" s="29"/>
      <c r="D4" s="29"/>
      <c r="E4" s="29"/>
      <c r="F4" s="29"/>
      <c r="G4" s="29"/>
    </row>
    <row r="5">
      <c r="A5" s="30"/>
      <c r="B5" s="31"/>
      <c r="C5" s="29"/>
      <c r="D5" s="32"/>
      <c r="E5" s="33" t="s">
        <v>35</v>
      </c>
      <c r="F5" s="29"/>
      <c r="G5" s="29"/>
    </row>
    <row r="6">
      <c r="A6" s="34" t="s">
        <v>36</v>
      </c>
      <c r="B6" s="35">
        <v>300000.0</v>
      </c>
      <c r="C6" s="29"/>
      <c r="D6" s="36" t="s">
        <v>37</v>
      </c>
      <c r="E6" s="37">
        <f>B6-SUM(B19:D25)</f>
        <v>0</v>
      </c>
      <c r="F6" s="29"/>
      <c r="G6" s="29"/>
    </row>
    <row r="7">
      <c r="A7" s="38" t="s">
        <v>38</v>
      </c>
      <c r="B7" s="39">
        <v>1000.0</v>
      </c>
      <c r="C7" s="29"/>
      <c r="D7" s="29"/>
      <c r="E7" s="29"/>
      <c r="F7" s="29"/>
      <c r="G7" s="29"/>
    </row>
    <row r="8">
      <c r="A8" s="29"/>
      <c r="B8" s="29"/>
      <c r="C8" s="29"/>
      <c r="D8" s="40"/>
      <c r="E8" s="40"/>
      <c r="F8" s="41"/>
      <c r="G8" s="41"/>
    </row>
    <row r="9">
      <c r="A9" s="29"/>
      <c r="B9" s="42" t="s">
        <v>35</v>
      </c>
      <c r="C9" s="29"/>
      <c r="D9" s="43" t="s">
        <v>39</v>
      </c>
      <c r="E9" s="44"/>
      <c r="F9" s="41"/>
      <c r="G9" s="41"/>
    </row>
    <row r="10">
      <c r="A10" s="45" t="s">
        <v>40</v>
      </c>
      <c r="B10" s="46">
        <f>SUMPRODUCT(1/B32:D38,B19:D25)</f>
        <v>79328.57143</v>
      </c>
      <c r="C10" s="29"/>
      <c r="D10" s="47" t="s">
        <v>41</v>
      </c>
      <c r="E10" s="48">
        <v>0.3</v>
      </c>
      <c r="F10" s="49">
        <f t="array" ref="F10:F12">TRANSPOSE(B26:D26)</f>
        <v>90000</v>
      </c>
      <c r="G10" s="49">
        <f>E10*B6</f>
        <v>90000</v>
      </c>
    </row>
    <row r="11">
      <c r="A11" s="50" t="s">
        <v>42</v>
      </c>
      <c r="B11" s="46">
        <f>SUMPRODUCT(1/B32:D38,B19:D25,B45:D51)</f>
        <v>1060.142857</v>
      </c>
      <c r="C11" s="29"/>
      <c r="D11" s="47" t="s">
        <v>43</v>
      </c>
      <c r="E11" s="48">
        <v>0.4</v>
      </c>
      <c r="F11" s="49">
        <v>120000.0</v>
      </c>
      <c r="G11" s="49">
        <f>E11*B6</f>
        <v>120000</v>
      </c>
    </row>
    <row r="12">
      <c r="A12" s="50" t="s">
        <v>44</v>
      </c>
      <c r="B12" s="51">
        <f>B6/B11</f>
        <v>282.9807304</v>
      </c>
      <c r="C12" s="29"/>
      <c r="D12" s="38" t="s">
        <v>45</v>
      </c>
      <c r="E12" s="52">
        <v>0.3</v>
      </c>
      <c r="F12" s="49">
        <v>90000.0</v>
      </c>
      <c r="G12" s="49">
        <f>E12*B6</f>
        <v>90000</v>
      </c>
    </row>
    <row r="13">
      <c r="A13" s="53" t="s">
        <v>46</v>
      </c>
      <c r="B13" s="54">
        <f>B7*B11/B6</f>
        <v>3.533809524</v>
      </c>
      <c r="C13" s="29"/>
      <c r="D13" s="29"/>
      <c r="E13" s="29"/>
      <c r="F13" s="29"/>
      <c r="G13" s="29"/>
    </row>
    <row r="14">
      <c r="A14" s="29"/>
      <c r="B14" s="29"/>
      <c r="C14" s="29"/>
      <c r="D14" s="29"/>
      <c r="E14" s="29"/>
      <c r="F14" s="29"/>
      <c r="G14" s="29"/>
    </row>
    <row r="15">
      <c r="A15" s="29"/>
      <c r="B15" s="29"/>
      <c r="C15" s="29"/>
      <c r="D15" s="29"/>
      <c r="E15" s="29"/>
      <c r="F15" s="55"/>
      <c r="G15" s="29"/>
    </row>
    <row r="16">
      <c r="A16" s="56" t="s">
        <v>47</v>
      </c>
      <c r="B16" s="57"/>
      <c r="C16" s="57"/>
      <c r="D16" s="44"/>
      <c r="E16" s="29"/>
      <c r="F16" s="55"/>
      <c r="G16" s="55"/>
    </row>
    <row r="17">
      <c r="A17" s="58" t="s">
        <v>48</v>
      </c>
      <c r="D17" s="59"/>
      <c r="E17" s="29"/>
      <c r="F17" s="29"/>
      <c r="G17" s="55"/>
    </row>
    <row r="18">
      <c r="A18" s="60"/>
      <c r="B18" s="61" t="s">
        <v>41</v>
      </c>
      <c r="C18" s="61" t="s">
        <v>43</v>
      </c>
      <c r="D18" s="62" t="s">
        <v>45</v>
      </c>
      <c r="E18" s="29"/>
      <c r="F18" s="29"/>
      <c r="G18" s="55"/>
    </row>
    <row r="19">
      <c r="A19" s="47" t="s">
        <v>49</v>
      </c>
      <c r="B19" s="63">
        <v>10000.0</v>
      </c>
      <c r="C19" s="63">
        <v>0.0</v>
      </c>
      <c r="D19" s="64">
        <v>0.0</v>
      </c>
      <c r="E19" s="29"/>
      <c r="F19" s="29"/>
      <c r="G19" s="55"/>
    </row>
    <row r="20">
      <c r="A20" s="47" t="s">
        <v>50</v>
      </c>
      <c r="B20" s="63">
        <v>20000.0</v>
      </c>
      <c r="C20" s="63">
        <v>0.0</v>
      </c>
      <c r="D20" s="64">
        <v>0.0</v>
      </c>
      <c r="E20" s="65"/>
      <c r="F20" s="29"/>
      <c r="G20" s="55"/>
    </row>
    <row r="21">
      <c r="A21" s="47" t="s">
        <v>51</v>
      </c>
      <c r="B21" s="63">
        <v>0.0</v>
      </c>
      <c r="C21" s="63">
        <v>0.0</v>
      </c>
      <c r="D21" s="64">
        <v>0.0</v>
      </c>
      <c r="E21" s="65" t="s">
        <v>52</v>
      </c>
    </row>
    <row r="22">
      <c r="A22" s="47" t="s">
        <v>53</v>
      </c>
      <c r="B22" s="63">
        <v>10000.0</v>
      </c>
      <c r="C22" s="63">
        <v>0.0</v>
      </c>
      <c r="D22" s="64">
        <v>0.0</v>
      </c>
      <c r="E22" s="65"/>
      <c r="F22" s="29"/>
      <c r="G22" s="29"/>
    </row>
    <row r="23">
      <c r="A23" s="47" t="s">
        <v>54</v>
      </c>
      <c r="B23" s="63">
        <v>50000.0</v>
      </c>
      <c r="C23" s="63">
        <v>120000.0</v>
      </c>
      <c r="D23" s="64">
        <v>90000.0</v>
      </c>
      <c r="E23" s="29"/>
      <c r="F23" s="29"/>
      <c r="G23" s="29"/>
    </row>
    <row r="24">
      <c r="A24" s="66" t="s">
        <v>55</v>
      </c>
      <c r="B24" s="63">
        <v>0.0</v>
      </c>
      <c r="C24" s="63">
        <v>0.0</v>
      </c>
      <c r="D24" s="64">
        <v>0.0</v>
      </c>
      <c r="E24" s="29"/>
      <c r="F24" s="29"/>
      <c r="G24" s="29"/>
    </row>
    <row r="25">
      <c r="A25" s="66" t="s">
        <v>55</v>
      </c>
      <c r="B25" s="63">
        <v>0.0</v>
      </c>
      <c r="C25" s="63">
        <v>0.0</v>
      </c>
      <c r="D25" s="64">
        <v>0.0</v>
      </c>
      <c r="E25" s="29"/>
      <c r="F25" s="29"/>
      <c r="G25" s="29"/>
    </row>
    <row r="26">
      <c r="A26" s="67" t="s">
        <v>56</v>
      </c>
      <c r="B26" s="68">
        <f t="shared" ref="B26:D26" si="1">SUM(B19:B25)</f>
        <v>90000</v>
      </c>
      <c r="C26" s="68">
        <f t="shared" si="1"/>
        <v>120000</v>
      </c>
      <c r="D26" s="69">
        <f t="shared" si="1"/>
        <v>90000</v>
      </c>
      <c r="E26" s="29"/>
      <c r="F26" s="29"/>
      <c r="G26" s="29"/>
    </row>
    <row r="27">
      <c r="A27" s="30"/>
      <c r="B27" s="29"/>
      <c r="C27" s="29"/>
      <c r="D27" s="29"/>
      <c r="E27" s="29"/>
      <c r="F27" s="29"/>
      <c r="G27" s="29"/>
    </row>
    <row r="28">
      <c r="A28" s="29"/>
      <c r="B28" s="29"/>
      <c r="C28" s="29"/>
      <c r="D28" s="29"/>
      <c r="E28" s="29"/>
      <c r="F28" s="29"/>
      <c r="G28" s="29"/>
    </row>
    <row r="29">
      <c r="A29" s="34" t="s">
        <v>57</v>
      </c>
      <c r="B29" s="57"/>
      <c r="C29" s="57"/>
      <c r="D29" s="44"/>
      <c r="E29" s="29"/>
      <c r="F29" s="29"/>
      <c r="G29" s="29"/>
    </row>
    <row r="30">
      <c r="A30" s="70" t="s">
        <v>58</v>
      </c>
      <c r="D30" s="59"/>
      <c r="E30" s="29"/>
      <c r="F30" s="29"/>
      <c r="G30" s="29"/>
    </row>
    <row r="31">
      <c r="A31" s="60"/>
      <c r="B31" s="61" t="s">
        <v>41</v>
      </c>
      <c r="C31" s="61" t="s">
        <v>43</v>
      </c>
      <c r="D31" s="62" t="s">
        <v>45</v>
      </c>
      <c r="E31" s="29"/>
      <c r="F31" s="29"/>
      <c r="G31" s="29"/>
    </row>
    <row r="32">
      <c r="A32" s="47" t="s">
        <v>49</v>
      </c>
      <c r="B32" s="63">
        <v>2.0</v>
      </c>
      <c r="C32" s="63">
        <v>18.0</v>
      </c>
      <c r="D32" s="64">
        <v>500.0</v>
      </c>
      <c r="E32" s="29"/>
      <c r="F32" s="29"/>
      <c r="G32" s="29"/>
    </row>
    <row r="33">
      <c r="A33" s="47" t="s">
        <v>50</v>
      </c>
      <c r="B33" s="63">
        <v>10.0</v>
      </c>
      <c r="C33" s="63">
        <v>20.0</v>
      </c>
      <c r="D33" s="64">
        <v>600.0</v>
      </c>
      <c r="E33" s="55" t="s">
        <v>59</v>
      </c>
    </row>
    <row r="34">
      <c r="A34" s="47" t="s">
        <v>51</v>
      </c>
      <c r="B34" s="63">
        <v>8.0</v>
      </c>
      <c r="C34" s="63">
        <v>14.0</v>
      </c>
      <c r="D34" s="64">
        <v>200.0</v>
      </c>
    </row>
    <row r="35">
      <c r="A35" s="47" t="s">
        <v>53</v>
      </c>
      <c r="B35" s="63">
        <v>7.0</v>
      </c>
      <c r="C35" s="63">
        <v>13.0</v>
      </c>
      <c r="D35" s="64">
        <v>300.0</v>
      </c>
      <c r="E35" s="29"/>
      <c r="F35" s="29"/>
      <c r="G35" s="29"/>
    </row>
    <row r="36">
      <c r="A36" s="47" t="s">
        <v>54</v>
      </c>
      <c r="B36" s="63">
        <v>1.0</v>
      </c>
      <c r="C36" s="63">
        <v>6.0</v>
      </c>
      <c r="D36" s="64">
        <v>100.0</v>
      </c>
      <c r="E36" s="29"/>
      <c r="F36" s="29"/>
      <c r="G36" s="29"/>
    </row>
    <row r="37">
      <c r="A37" s="71" t="s">
        <v>55</v>
      </c>
      <c r="B37" s="63">
        <v>1.0</v>
      </c>
      <c r="C37" s="63">
        <v>1.0</v>
      </c>
      <c r="D37" s="64">
        <v>1.0</v>
      </c>
      <c r="E37" s="29"/>
      <c r="F37" s="29"/>
      <c r="G37" s="29"/>
    </row>
    <row r="38">
      <c r="A38" s="72" t="s">
        <v>55</v>
      </c>
      <c r="B38" s="73">
        <v>1.0</v>
      </c>
      <c r="C38" s="73">
        <v>1.0</v>
      </c>
      <c r="D38" s="39">
        <v>1.0</v>
      </c>
      <c r="E38" s="29"/>
      <c r="F38" s="29"/>
      <c r="G38" s="29"/>
    </row>
    <row r="39">
      <c r="A39" s="29"/>
      <c r="B39" s="29"/>
      <c r="C39" s="29"/>
      <c r="D39" s="29"/>
      <c r="E39" s="29"/>
      <c r="F39" s="29"/>
      <c r="G39" s="29"/>
    </row>
    <row r="40">
      <c r="A40" s="29"/>
      <c r="B40" s="29"/>
      <c r="C40" s="29"/>
      <c r="D40" s="29"/>
      <c r="E40" s="29"/>
      <c r="F40" s="29"/>
      <c r="G40" s="29"/>
    </row>
    <row r="41">
      <c r="A41" s="34" t="s">
        <v>60</v>
      </c>
      <c r="B41" s="57"/>
      <c r="C41" s="57"/>
      <c r="D41" s="44"/>
      <c r="E41" s="29"/>
      <c r="F41" s="29"/>
      <c r="G41" s="29"/>
    </row>
    <row r="42">
      <c r="A42" s="70" t="s">
        <v>61</v>
      </c>
      <c r="D42" s="59"/>
      <c r="E42" s="29"/>
      <c r="F42" s="29"/>
      <c r="G42" s="29"/>
    </row>
    <row r="43">
      <c r="A43" s="70" t="s">
        <v>62</v>
      </c>
      <c r="D43" s="59"/>
      <c r="E43" s="29"/>
      <c r="F43" s="29"/>
      <c r="G43" s="29"/>
    </row>
    <row r="44">
      <c r="A44" s="60"/>
      <c r="B44" s="61" t="s">
        <v>41</v>
      </c>
      <c r="C44" s="61" t="s">
        <v>43</v>
      </c>
      <c r="D44" s="62" t="s">
        <v>45</v>
      </c>
      <c r="E44" s="29"/>
      <c r="F44" s="29"/>
      <c r="G44" s="29"/>
    </row>
    <row r="45">
      <c r="A45" s="47" t="s">
        <v>49</v>
      </c>
      <c r="B45" s="74">
        <v>0.017</v>
      </c>
      <c r="C45" s="74">
        <v>0.03</v>
      </c>
      <c r="D45" s="75">
        <v>0.1</v>
      </c>
      <c r="E45" s="29"/>
      <c r="F45" s="29"/>
      <c r="G45" s="29"/>
    </row>
    <row r="46">
      <c r="A46" s="47" t="s">
        <v>50</v>
      </c>
      <c r="B46" s="74">
        <v>0.02</v>
      </c>
      <c r="C46" s="74">
        <v>0.04</v>
      </c>
      <c r="D46" s="75">
        <v>0.25</v>
      </c>
      <c r="E46" s="29"/>
      <c r="F46" s="29"/>
      <c r="G46" s="29"/>
    </row>
    <row r="47">
      <c r="A47" s="47" t="s">
        <v>51</v>
      </c>
      <c r="B47" s="74">
        <v>0.011</v>
      </c>
      <c r="C47" s="74">
        <v>0.03</v>
      </c>
      <c r="D47" s="75">
        <v>0.14</v>
      </c>
      <c r="E47" s="65" t="s">
        <v>63</v>
      </c>
    </row>
    <row r="48">
      <c r="A48" s="47" t="s">
        <v>53</v>
      </c>
      <c r="B48" s="74">
        <v>0.012</v>
      </c>
      <c r="C48" s="74">
        <v>0.03</v>
      </c>
      <c r="D48" s="75">
        <v>0.2</v>
      </c>
      <c r="E48" s="29"/>
      <c r="F48" s="29"/>
      <c r="G48" s="29"/>
    </row>
    <row r="49">
      <c r="A49" s="47" t="s">
        <v>54</v>
      </c>
      <c r="B49" s="74">
        <v>0.01</v>
      </c>
      <c r="C49" s="74">
        <v>0.02</v>
      </c>
      <c r="D49" s="75">
        <v>0.02</v>
      </c>
      <c r="E49" s="29"/>
      <c r="F49" s="29"/>
      <c r="G49" s="29"/>
    </row>
    <row r="50">
      <c r="A50" s="76" t="s">
        <v>55</v>
      </c>
      <c r="B50" s="74">
        <v>0.0</v>
      </c>
      <c r="C50" s="74">
        <v>0.0</v>
      </c>
      <c r="D50" s="75">
        <v>0.0</v>
      </c>
      <c r="E50" s="29"/>
      <c r="F50" s="29"/>
      <c r="G50" s="29"/>
    </row>
    <row r="51">
      <c r="A51" s="72" t="s">
        <v>55</v>
      </c>
      <c r="B51" s="77">
        <v>0.0</v>
      </c>
      <c r="C51" s="77">
        <v>0.0</v>
      </c>
      <c r="D51" s="78">
        <v>0.0</v>
      </c>
      <c r="E51" s="29"/>
      <c r="F51" s="29"/>
      <c r="G51" s="29"/>
    </row>
    <row r="52">
      <c r="A52" s="29"/>
      <c r="B52" s="29"/>
      <c r="C52" s="29"/>
      <c r="D52" s="29"/>
      <c r="E52" s="29"/>
      <c r="F52" s="29"/>
      <c r="G52" s="29"/>
    </row>
  </sheetData>
  <mergeCells count="12">
    <mergeCell ref="A30:D30"/>
    <mergeCell ref="A41:D41"/>
    <mergeCell ref="A42:D42"/>
    <mergeCell ref="A43:D43"/>
    <mergeCell ref="E47:G47"/>
    <mergeCell ref="A1:G3"/>
    <mergeCell ref="D9:E9"/>
    <mergeCell ref="A16:D16"/>
    <mergeCell ref="A17:D17"/>
    <mergeCell ref="E21:G21"/>
    <mergeCell ref="A29:D29"/>
    <mergeCell ref="E33:G34"/>
  </mergeCells>
  <conditionalFormatting sqref="B26:C26">
    <cfRule type="cellIs" dxfId="0" priority="1" operator="greaterThan">
      <formula>$B$6*E10</formula>
    </cfRule>
  </conditionalFormatting>
  <conditionalFormatting sqref="C26">
    <cfRule type="cellIs" dxfId="0" priority="2" operator="greaterThan">
      <formula>$B$6*E11</formula>
    </cfRule>
  </conditionalFormatting>
  <conditionalFormatting sqref="D26">
    <cfRule type="cellIs" dxfId="0" priority="3" operator="lessThan">
      <formula>$B$6*E12</formula>
    </cfRule>
  </conditionalFormatting>
  <conditionalFormatting sqref="E5:E6">
    <cfRule type="cellIs" dxfId="1" priority="4" operator="greaterThan">
      <formula>0</formula>
    </cfRule>
  </conditionalFormatting>
  <conditionalFormatting sqref="E5:E6">
    <cfRule type="cellIs" dxfId="2" priority="5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79" t="s">
        <v>64</v>
      </c>
      <c r="D1" s="79" t="s">
        <v>65</v>
      </c>
      <c r="J1" s="80">
        <v>1.0</v>
      </c>
    </row>
    <row r="2">
      <c r="A2" s="81">
        <f>Max('Controle de Verba - MÊSANO'!B10)</f>
        <v>79328.57143</v>
      </c>
      <c r="B2" s="82" t="str">
        <f>Max(ProductMix_Example!F13)</f>
        <v>#REF!</v>
      </c>
    </row>
    <row r="3">
      <c r="A3" s="82" t="str">
        <f>'Controle de Verba - MÊSANO'!B19:D23</f>
        <v>#VALUE!</v>
      </c>
      <c r="B3" s="82" t="str">
        <f>ProductMix_Example!B3:D3</f>
        <v>#REF!</v>
      </c>
    </row>
    <row r="4">
      <c r="A4" s="79" t="s">
        <v>66</v>
      </c>
      <c r="B4" s="79" t="s">
        <v>66</v>
      </c>
    </row>
    <row r="5">
      <c r="B5" s="83" t="s">
        <v>67</v>
      </c>
    </row>
    <row r="6">
      <c r="A6" s="79" t="s">
        <v>68</v>
      </c>
      <c r="B6" s="79" t="s">
        <v>69</v>
      </c>
    </row>
    <row r="7">
      <c r="A7" s="82" t="str">
        <f>'Controle de Verba - MÊSANO'!F10:F12 &lt;= 'Controle de Verba - MÊSANO'!G10:G12</f>
        <v>#VALUE!</v>
      </c>
      <c r="B7" s="82" t="str">
        <f>ProductMix_Example!B3:D3 &lt;= 0</f>
        <v>#REF!</v>
      </c>
    </row>
    <row r="8">
      <c r="A8" s="82" t="str">
        <f>'Controle de Verba - MÊSANO'!B19:D23 &lt;= 0</f>
        <v>#VALUE!</v>
      </c>
      <c r="B8" s="82" t="str">
        <f>ProductMix_Example!F7:F11 &lt;= ProductMix_Example!G7:G11</f>
        <v>#REF!</v>
      </c>
    </row>
    <row r="9">
      <c r="A9" s="82" t="b">
        <f>'Controle de Verba - MÊSANO'!E6 &lt;= 0</f>
        <v>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